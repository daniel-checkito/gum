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kel" sheetId="1" state="visible" r:id="rId3"/>
    <sheet name="Automat" sheetId="2" state="visible" r:id="rId4"/>
    <sheet name="Zielgruppen" sheetId="3" state="visible" r:id="rId5"/>
    <sheet name="Quell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<sst xmlns="http://schemas.openxmlformats.org/spreadsheetml/2006/main" count="177" uniqueCount="163">
  <si>
    <t xml:space="preserve">Snackautomat: Artikelvergleich (pro Stück und pro Monat)</t>
  </si>
  <si>
    <t xml:space="preserve">Blau = Eingabe/Annahme (änderbar). Schwarz = Formel. Gelb = wichtigste Annahmen, bitte mit echten Angeboten ersetzen.</t>
  </si>
  <si>
    <t xml:space="preserve">Globale Annahmen:</t>
  </si>
  <si>
    <t xml:space="preserve">Kartenzahlungs-/Abrechnungsgebühr (% vom Brutto)</t>
  </si>
  <si>
    <t xml:space="preserve">Annahme: Nayax o. ä. Abrechnungsgebühren plus Barzahlungsanteil gemittelt; Angebot einholen.</t>
  </si>
  <si>
    <t xml:space="preserve">Standortprovision an Vermieter (% vom Brutto)</t>
  </si>
  <si>
    <t xml:space="preserve">Annahme: üblich ist Umsatzbeteiligung oder feste Miete (MTR Legal, Automatenaufstellvertrag). Satz verhandelbar.</t>
  </si>
  <si>
    <t xml:space="preserve">Verkaufstage pro Monat</t>
  </si>
  <si>
    <t xml:space="preserve">Absatzfaktor Szenario (0,6 = vorsichtig, 1 = Basis, 1,5 = guter Standort)</t>
  </si>
  <si>
    <t xml:space="preserve">Ein Betreiber berichtet 80 bis 150 € Umsatz pro Tag als Norm (getquin). Basis hier bewusst niedriger.</t>
  </si>
  <si>
    <t xml:space="preserve">Artikel</t>
  </si>
  <si>
    <t xml:space="preserve">Typ</t>
  </si>
  <si>
    <t xml:space="preserve">Bezugsquelle</t>
  </si>
  <si>
    <t xml:space="preserve">EK netto / Stück</t>
  </si>
  <si>
    <t xml:space="preserve">VK brutto / Stück</t>
  </si>
  <si>
    <t xml:space="preserve">MwSt</t>
  </si>
  <si>
    <t xml:space="preserve">VK netto</t>
  </si>
  <si>
    <t xml:space="preserve">Gebühr + Provision</t>
  </si>
  <si>
    <t xml:space="preserve">Deckungsbeitrag / Stück</t>
  </si>
  <si>
    <t xml:space="preserve">Marge (% vom Netto-VK)</t>
  </si>
  <si>
    <t xml:space="preserve">Verkäufe / Tag (Annahme)</t>
  </si>
  <si>
    <t xml:space="preserve">DB / Monat</t>
  </si>
  <si>
    <t xml:space="preserve">Rang (DB/Monat)</t>
  </si>
  <si>
    <t xml:space="preserve">Zielgruppe</t>
  </si>
  <si>
    <t xml:space="preserve">Herkunft der Zahlen</t>
  </si>
  <si>
    <t xml:space="preserve">Red Bull 250 ml</t>
  </si>
  <si>
    <t xml:space="preserve">Wiederverkauf</t>
  </si>
  <si>
    <t xml:space="preserve">Metro / Getränkegroßhandel</t>
  </si>
  <si>
    <t xml:space="preserve">Alle, v. a. Studis, Schicht</t>
  </si>
  <si>
    <t xml:space="preserve">EK: Metro-Prospekt ab 4,52 € (vermutlich 4er-Pack, also ca. 1,13 €/Dose), Pfand durchlaufend. VK: Annahme.</t>
  </si>
  <si>
    <t xml:space="preserve">Wasser 0,5 l</t>
  </si>
  <si>
    <t xml:space="preserve">Getränkegroßhandel</t>
  </si>
  <si>
    <t xml:space="preserve">Alle</t>
  </si>
  <si>
    <t xml:space="preserve">Annahme. Wasser ist laut VMFS der meistverkaufte Automatenartikel.</t>
  </si>
  <si>
    <t xml:space="preserve">Proteinriegel (Barebells)</t>
  </si>
  <si>
    <t xml:space="preserve">Großhandel / Barebells B2B</t>
  </si>
  <si>
    <t xml:space="preserve">Gym, Büro, Studis</t>
  </si>
  <si>
    <t xml:space="preserve">EK-Annahme. Referenz: 12er ab 21 € brutto im Amazon-Abo (1,75 €/Stück). VK: Annahme.</t>
  </si>
  <si>
    <t xml:space="preserve">Xylit-Kaugummi 10er (Extra Professional)</t>
  </si>
  <si>
    <t xml:space="preserve">Großhandel / Metro</t>
  </si>
  <si>
    <t xml:space="preserve">Mensa, Büro, Kantine</t>
  </si>
  <si>
    <t xml:space="preserve">EK-Referenz: 30 x 10er für 22,90 € brutto (eBay, 0,76 €/Pack). VK: Annahme.</t>
  </si>
  <si>
    <t xml:space="preserve">Koffein-Gum Markenware (z. B. enerjetix, Guming)</t>
  </si>
  <si>
    <t xml:space="preserve">Hersteller direkt anfragen</t>
  </si>
  <si>
    <t xml:space="preserve">Uni-Bib, Nachtschicht, Coworking</t>
  </si>
  <si>
    <t xml:space="preserve">EK-Annahme, keine öffentlichen B2B-Preise gefunden. Hersteller anfragen.</t>
  </si>
  <si>
    <t xml:space="preserve">Koffein-Gum Eigenmarke (100 % Xylit, 10er)</t>
  </si>
  <si>
    <t xml:space="preserve">Eigenmarke</t>
  </si>
  <si>
    <t xml:space="preserve">Private Label: Accio/China oder EU-Hersteller (Wonnda)</t>
  </si>
  <si>
    <t xml:space="preserve">EK-Annahme inkl. Fracht/Zoll. Mehrere OEM-Anbieter auf Accio, MOQ meist 500+. Muster anfragen.</t>
  </si>
  <si>
    <t xml:space="preserve">Energy Pouches Markenware (z. B. BAGZ Energy 5er)</t>
  </si>
  <si>
    <t xml:space="preserve">Großhändler/Distributor anfragen</t>
  </si>
  <si>
    <t xml:space="preserve">Coworking, Gym, Studis 18+</t>
  </si>
  <si>
    <t xml:space="preserve">Endkundenpreis BAGZ Energy 5er: 2,95 € (tabakdealer.de). EK-Annahme. MwSt-Satz prüfen.</t>
  </si>
  <si>
    <t xml:space="preserve">Energy Pouches Eigenmarke (Dose)</t>
  </si>
  <si>
    <t xml:space="preserve">Private Label über Wonnda (Europouches, Kylmakorpi, hiit)</t>
  </si>
  <si>
    <t xml:space="preserve">EK-Annahme. Hersteller auf Wonnda gelistet, Angebot einholen. Rechtlicher Graubereich beachten.</t>
  </si>
  <si>
    <t xml:space="preserve">Elektrolyt-Sticks Eigenmarke (3er)</t>
  </si>
  <si>
    <t xml:space="preserve">Private Label (Accio, ab ca. 0,10 $/Einheit)</t>
  </si>
  <si>
    <t xml:space="preserve">Gym, Sportplatz</t>
  </si>
  <si>
    <t xml:space="preserve">EK-Annahme (ca. 0,15 €/Stick). Referenz Endkunde: sanotact 50 Sticks 8,95 € bei dm.</t>
  </si>
  <si>
    <t xml:space="preserve">Hard Gum (Kieferlinie-Trend)</t>
  </si>
  <si>
    <t xml:space="preserve">Private Label (Accio: Jawline Gum OEM)</t>
  </si>
  <si>
    <t xml:space="preserve">Gym, Gen-Z-Jungs</t>
  </si>
  <si>
    <t xml:space="preserve">EK- und VK-Annahme. OEM-Angebote auf Accio vorhanden.</t>
  </si>
  <si>
    <t xml:space="preserve">Hinweis MwSt: Lebensmittel inkl. Kaugummi/NEM i. d. R. 7 %, Getränke 19 %. Mit Steuerberater prüfen. Bei Kleinunternehmerregelung entfällt die MwSt.</t>
  </si>
  <si>
    <t xml:space="preserve">Hinweis Koffein: In DE nicht altersbeschränkt, aber Koffein-Gum und Pouches nur an Erwachsenen-Standorten anbieten (Uni, Büro, Gym), nicht an Schulen.</t>
  </si>
  <si>
    <t xml:space="preserve">Ein Automat: zwei Sortiments-Mixe im Vergleich</t>
  </si>
  <si>
    <t xml:space="preserve">Spalten C und D: 1 = Artikel ist im Mix, 0 = nicht. Absatz und Preise kommen aus dem Blatt 'Artikel'.</t>
  </si>
  <si>
    <t xml:space="preserve">DB / Monat (aus Artikel)</t>
  </si>
  <si>
    <t xml:space="preserve">Mix A: Klassisch</t>
  </si>
  <si>
    <t xml:space="preserve">Mix B: Fokus/Funktional</t>
  </si>
  <si>
    <t xml:space="preserve">Deckungsbeitrag Sortiment / Monat</t>
  </si>
  <si>
    <t xml:space="preserve">Laufende Kosten / Monat</t>
  </si>
  <si>
    <t xml:space="preserve">Kartenleser/Telemetrie-Grundgebühr</t>
  </si>
  <si>
    <t xml:space="preserve">Annahme. Nayax erhebt eine monatliche Gebühr, Höhe im Angebot erfragen.</t>
  </si>
  <si>
    <t xml:space="preserve">Fahrten, Nachfüllen, Zeit (pauschal)</t>
  </si>
  <si>
    <t xml:space="preserve">Annahme: 4 Fahrten im Monat in Berlin.</t>
  </si>
  <si>
    <t xml:space="preserve">Strom (falls nicht vom Standort getragen)</t>
  </si>
  <si>
    <t xml:space="preserve">Annahme: Standort stellt Strom, sonst ca. 15 bis 30 € eintragen.</t>
  </si>
  <si>
    <t xml:space="preserve">Schwund/Verfall (pauschal)</t>
  </si>
  <si>
    <t xml:space="preserve">Annahme.</t>
  </si>
  <si>
    <t xml:space="preserve">Summe laufende Kosten</t>
  </si>
  <si>
    <t xml:space="preserve">Gewinn vor Steuern / Monat</t>
  </si>
  <si>
    <t xml:space="preserve">Einmalige Investition</t>
  </si>
  <si>
    <t xml:space="preserve">Snackautomat gebraucht</t>
  </si>
  <si>
    <t xml:space="preserve">Annahme Marktpreis Kleinanzeigen. Neu ab 4.770 € (DGA Vending).</t>
  </si>
  <si>
    <t xml:space="preserve">Kartenleser inkl. Einbau</t>
  </si>
  <si>
    <t xml:space="preserve">Basis: Nayax-Leser ca. 360 $ plus Einbau (Capital Vending), EU-Version 199 bis 349 $.</t>
  </si>
  <si>
    <t xml:space="preserve">Erstbefüllung Ware</t>
  </si>
  <si>
    <t xml:space="preserve">Eigenmarke: Mindestmenge erste Charge (nur Mix B)</t>
  </si>
  <si>
    <t xml:space="preserve">Annahme: MOQ 500 bis 1.000 Einheiten (Wonnda) je Produkt, hier gemittelt.</t>
  </si>
  <si>
    <t xml:space="preserve">Investition gesamt</t>
  </si>
  <si>
    <t xml:space="preserve">Amortisation (Monate)</t>
  </si>
  <si>
    <t xml:space="preserve">Umsatz brutto / Tag (Kontrolle)</t>
  </si>
  <si>
    <t xml:space="preserve">Zum Abgleich mit Betreibererfahrung von 80 bis 150 € Umsatz pro Tag (getquin).</t>
  </si>
  <si>
    <t xml:space="preserve">Standorte, Zielgruppen und wie du sie erreichst</t>
  </si>
  <si>
    <t xml:space="preserve">Standort</t>
  </si>
  <si>
    <t xml:space="preserve">Passende Artikel</t>
  </si>
  <si>
    <t xml:space="preserve">Warum es passt</t>
  </si>
  <si>
    <t xml:space="preserve">So kommst du rein</t>
  </si>
  <si>
    <t xml:space="preserve">Eignung</t>
  </si>
  <si>
    <t xml:space="preserve">Uni-Bibliothek / Lernräume / Studentenwohnheim</t>
  </si>
  <si>
    <t xml:space="preserve">Studis 18 bis 28, Prüfungsphasen, abends</t>
  </si>
  <si>
    <t xml:space="preserve">Koffein-Gum, Xylit-Gum, Wasser, Energy</t>
  </si>
  <si>
    <t xml:space="preserve">Lange Lernsessions, kaum Alternativen nachts, Gum ist leise und erlaubt in der Bib</t>
  </si>
  <si>
    <t xml:space="preserve">Studierendenwerk/Wohnheimverwaltung anfragen; bei öffentlichen Häusern oft Ausschreibung</t>
  </si>
  <si>
    <t xml:space="preserve">Sehr hoch</t>
  </si>
  <si>
    <t xml:space="preserve">Coworking / Startup-Büros</t>
  </si>
  <si>
    <t xml:space="preserve">Gründer, Devs, Remote Worker 25 bis 40</t>
  </si>
  <si>
    <t xml:space="preserve">Koffein-Gum, Pouches, Proteinriegel, Wasser</t>
  </si>
  <si>
    <t xml:space="preserve">Zahlungsbereit, offen für neue Produkte, Content-tauglich</t>
  </si>
  <si>
    <t xml:space="preserve">Direkt Community-Manager anschreiben, Umsatzbeteiligung anbieten</t>
  </si>
  <si>
    <t xml:space="preserve">Hoch</t>
  </si>
  <si>
    <t xml:space="preserve">Gym / Boulderhalle</t>
  </si>
  <si>
    <t xml:space="preserve">Sportler 18 bis 35</t>
  </si>
  <si>
    <t xml:space="preserve">Elektrolyte, Hard Gum, Proteinriegel, Wasser</t>
  </si>
  <si>
    <t xml:space="preserve">Elektrolyte und Protein werden dort direkt gebraucht</t>
  </si>
  <si>
    <t xml:space="preserve">Inhaber direkt ansprechen, oft schon Getränkekühlschrank vorhanden</t>
  </si>
  <si>
    <t xml:space="preserve">Krankenhaus / Pflege (Nachtschicht)</t>
  </si>
  <si>
    <t xml:space="preserve">Pflegekräfte, Ärzte</t>
  </si>
  <si>
    <t xml:space="preserve">Koffein-Gum, Xylit-Gum, Wasser</t>
  </si>
  <si>
    <t xml:space="preserve">Nachtschichten, wenig Zeit für Kaffee</t>
  </si>
  <si>
    <t xml:space="preserve">Meist Ausschreibung und Gebühr (laut WeYou-Interview), schwerer Einstieg</t>
  </si>
  <si>
    <t xml:space="preserve">Mittel</t>
  </si>
  <si>
    <t xml:space="preserve">Bahnhof / öffentliche Plätze</t>
  </si>
  <si>
    <t xml:space="preserve">Gemischt, inkl. Minderjährige</t>
  </si>
  <si>
    <t xml:space="preserve">Wasser, Energy, Xylit-Gum</t>
  </si>
  <si>
    <t xml:space="preserve">Hohe Frequenz</t>
  </si>
  <si>
    <t xml:space="preserve">Teure Flächen, starke Konkurrenz; Koffeinprodukte hier eher meiden</t>
  </si>
  <si>
    <t xml:space="preserve">Niedrig</t>
  </si>
  <si>
    <t xml:space="preserve">Quellen und Annahmen</t>
  </si>
  <si>
    <t xml:space="preserve">Was</t>
  </si>
  <si>
    <t xml:space="preserve">Link</t>
  </si>
  <si>
    <t xml:space="preserve">Metro Red Bull Preis ab 4,52 € (KW 31/2026)</t>
  </si>
  <si>
    <t xml:space="preserve">https://www.kaufda.de/Metro/Sortiment/Red-Bull</t>
  </si>
  <si>
    <t xml:space="preserve">Barebells 12er ab 21 € im Amazon-Abo</t>
  </si>
  <si>
    <t xml:space="preserve">https://www.mein-deal.com/?p=2164912</t>
  </si>
  <si>
    <t xml:space="preserve">Extra Professional 30 x 10er für 22,90 €</t>
  </si>
  <si>
    <t xml:space="preserve">https://www.ebay.de/p/28014800363</t>
  </si>
  <si>
    <t xml:space="preserve">BAGZ Energy Koffeinbeutel 2,95 € (5 Stück)</t>
  </si>
  <si>
    <t xml:space="preserve">https://tabakdealer.de/bagz/kautabak/</t>
  </si>
  <si>
    <t xml:space="preserve">sanotact Elektrolyte 50 Sticks 8,95 €</t>
  </si>
  <si>
    <t xml:space="preserve">https://www.dm.de/p/d/3085316/</t>
  </si>
  <si>
    <t xml:space="preserve">Koffein-Gum Private Label Anbieter (Accio)</t>
  </si>
  <si>
    <t xml:space="preserve">https://de.accio.com/plp/caffeine-gum-white-label</t>
  </si>
  <si>
    <t xml:space="preserve">Energy-Pouch Private-Label-Hersteller (Wonnda)</t>
  </si>
  <si>
    <t xml:space="preserve">https://wonnda.com/de/produkttypen/private-label-energy-pouches-hersteller/</t>
  </si>
  <si>
    <t xml:space="preserve">White-Label-MOQ 500 bis 5.000 Einheiten (Wonnda)</t>
  </si>
  <si>
    <t xml:space="preserve">https://wonnda.com/de/magazin/white-label-nahrungsergaenzungsmittel-hersteller-europa/</t>
  </si>
  <si>
    <t xml:space="preserve">Snackautomat neu ab 4.770 € (DGA Vending)</t>
  </si>
  <si>
    <t xml:space="preserve">https://www.kleinanzeigen.de/pro/dga-vending</t>
  </si>
  <si>
    <t xml:space="preserve">Nayax-Kartenleser ca. 360 $ plus Einbau</t>
  </si>
  <si>
    <t xml:space="preserve">https://dev.capitalvending.com/nayax-reader-with-installation-at-capital-vending</t>
  </si>
  <si>
    <t xml:space="preserve">Betreiber-Erfahrung 80 bis 150 € Umsatz/Tag</t>
  </si>
  <si>
    <t xml:space="preserve">https://app.getquin.com/de/post/kJiXqaBssQ/hier-mal-ein-kleines-update-zu-meinen-erfahrung-im-automaten-business</t>
  </si>
  <si>
    <t xml:space="preserve">Automatenaufstellvertrag: Miete oder Umsatzbeteiligung</t>
  </si>
  <si>
    <t xml:space="preserve">https://www.mtrlegal.com/wiki/automatenaufstellungsvertrag/</t>
  </si>
  <si>
    <t xml:space="preserve">Produktmix-Regeln, 40 bis 60 % Staples (VMFS)</t>
  </si>
  <si>
    <t xml:space="preserve">https://vmfsusa.com/blogs/starting-your-vending-business/how-to-choose-the-right-products-for-your-vending-machine</t>
  </si>
  <si>
    <t xml:space="preserve">Öffentliche Standorte: Ausschreibung und Gebühr (WeYou)</t>
  </si>
  <si>
    <t xml:space="preserve">https://www.stol.it/artikel/wirtschaft/hinter-den-kulissen-des-kaffeegenusses-die-welt-der-verkaufsautomaten</t>
  </si>
  <si>
    <t xml:space="preserve">Alles, was in Blatt 'Artikel' mit 'Annahme' markiert ist, ist geschätzt und sollte durch echte Angebote ersetzt werden.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</si>
</sst>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0.0"/>
    <numFmt numFmtId="167" formatCode="#,##0.00&quot; €&quot;;\(#,##0.00&quot; €)&quot;;\-"/>
    <numFmt numFmtId="168" formatCode="0%"/>
    <numFmt numFmtId="169" formatCode="0.0;\(0.0\);\-"/>
    <numFmt numFmtId="170" formatCode="#,##0&quot; €&quot;;\(#,##0&quot; €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kaufda.de/Metro/Sortiment/Red-Bull" TargetMode="External"/><Relationship Id="rId2" Type="http://schemas.openxmlformats.org/officeDocument/2006/relationships/hyperlink" Target="https://www.mein-deal.com/?p=2164912" TargetMode="External"/><Relationship Id="rId3" Type="http://schemas.openxmlformats.org/officeDocument/2006/relationships/hyperlink" Target="https://www.ebay.de/p/28014800363" TargetMode="External"/><Relationship Id="rId4" Type="http://schemas.openxmlformats.org/officeDocument/2006/relationships/hyperlink" Target="https://tabakdealer.de/bagz/kautabak/" TargetMode="External"/><Relationship Id="rId5" Type="http://schemas.openxmlformats.org/officeDocument/2006/relationships/hyperlink" Target="https://www.dm.de/p/d/3085316/" TargetMode="External"/><Relationship Id="rId6" Type="http://schemas.openxmlformats.org/officeDocument/2006/relationships/hyperlink" Target="https://de.accio.com/plp/caffeine-gum-white-label" TargetMode="External"/><Relationship Id="rId7" Type="http://schemas.openxmlformats.org/officeDocument/2006/relationships/hyperlink" Target="https://wonnda.com/de/produkttypen/private-label-energy-pouches-hersteller/" TargetMode="External"/><Relationship Id="rId8" Type="http://schemas.openxmlformats.org/officeDocument/2006/relationships/hyperlink" Target="https://wonnda.com/de/magazin/white-label-nahrungsergaenzungsmittel-hersteller-europa/" TargetMode="External"/><Relationship Id="rId9" Type="http://schemas.openxmlformats.org/officeDocument/2006/relationships/hyperlink" Target="https://www.kleinanzeigen.de/pro/dga-vending" TargetMode="External"/><Relationship Id="rId10" Type="http://schemas.openxmlformats.org/officeDocument/2006/relationships/hyperlink" Target="https://dev.capitalvending.com/nayax-reader-with-installation-at-capital-vending" TargetMode="External"/><Relationship Id="rId11" Type="http://schemas.openxmlformats.org/officeDocument/2006/relationships/hyperlink" Target="https://app.getquin.com/de/post/kJiXqaBssQ/hier-mal-ein-kleines-update-zu-meinen-erfahrung-im-automaten-business" TargetMode="External"/><Relationship Id="rId12" Type="http://schemas.openxmlformats.org/officeDocument/2006/relationships/hyperlink" Target="https://www.mtrlegal.com/wiki/automatenaufstellungsvertrag/" TargetMode="External"/><Relationship Id="rId13" Type="http://schemas.openxmlformats.org/officeDocument/2006/relationships/hyperlink" Target="https://vmfsusa.com/blogs/starting-your-vending-business/how-to-choose-the-right-products-for-your-vending-machine" TargetMode="External"/><Relationship Id="rId14" Type="http://schemas.openxmlformats.org/officeDocument/2006/relationships/hyperlink" Target="https://www.stol.it/artikel/wirtschaft/hinter-den-kulissen-des-kaffeegenusses-die-welt-der-verkaufsautomat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24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5" t="s">
        <v>3</v>
      </c>
      <c r="B4" s="2"/>
      <c r="C4" s="2"/>
      <c r="D4" s="6" t="n">
        <v>0.05</v>
      </c>
      <c r="E4" s="3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5" t="s">
        <v>5</v>
      </c>
      <c r="B5" s="2"/>
      <c r="C5" s="2"/>
      <c r="D5" s="6" t="n">
        <v>0.15</v>
      </c>
      <c r="E5" s="3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5" t="s">
        <v>7</v>
      </c>
      <c r="B6" s="2"/>
      <c r="C6" s="2"/>
      <c r="D6" s="7" t="n">
        <v>30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5" t="s">
        <v>8</v>
      </c>
      <c r="B7" s="2"/>
      <c r="C7" s="2"/>
      <c r="D7" s="8" t="n">
        <v>1</v>
      </c>
      <c r="E7" s="3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42" hidden="false" customHeight="true" outlineLevel="0" collapsed="false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9" t="s">
        <v>16</v>
      </c>
      <c r="H9" s="9" t="s">
        <v>17</v>
      </c>
      <c r="I9" s="9" t="s">
        <v>18</v>
      </c>
      <c r="J9" s="9" t="s">
        <v>19</v>
      </c>
      <c r="K9" s="9" t="s">
        <v>20</v>
      </c>
      <c r="L9" s="9" t="s">
        <v>21</v>
      </c>
      <c r="M9" s="9" t="s">
        <v>22</v>
      </c>
      <c r="N9" s="9" t="s">
        <v>23</v>
      </c>
      <c r="O9" s="9" t="s">
        <v>24</v>
      </c>
    </row>
    <row r="10" customFormat="false" ht="22.35" hidden="false" customHeight="false" outlineLevel="0" collapsed="false">
      <c r="A10" s="10" t="s">
        <v>25</v>
      </c>
      <c r="B10" s="10" t="s">
        <v>26</v>
      </c>
      <c r="C10" s="10" t="s">
        <v>27</v>
      </c>
      <c r="D10" s="11" t="n">
        <v>1.13</v>
      </c>
      <c r="E10" s="12" t="n">
        <v>2.8</v>
      </c>
      <c r="F10" s="13" t="n">
        <v>0.19</v>
      </c>
      <c r="G10" s="14" t="n">
        <f aca="false">E10/(1+F10)</f>
        <v>2.35294117647059</v>
      </c>
      <c r="H10" s="14" t="n">
        <f aca="false">E10*($D$4+$D$5)</f>
        <v>0.56</v>
      </c>
      <c r="I10" s="14" t="n">
        <f aca="false">G10-D10-H10</f>
        <v>0.662941176470589</v>
      </c>
      <c r="J10" s="15" t="n">
        <f aca="false">IF(G10=0,0,I10/G10)</f>
        <v>0.28175</v>
      </c>
      <c r="K10" s="16" t="n">
        <v>6</v>
      </c>
      <c r="L10" s="17" t="n">
        <f aca="false">I10*K10*$D$6*$D$7</f>
        <v>119.329411764706</v>
      </c>
      <c r="M10" s="10" t="n">
        <f aca="false">RANK(L10,$L$10:$L$19)</f>
        <v>3</v>
      </c>
      <c r="N10" s="10" t="s">
        <v>28</v>
      </c>
      <c r="O10" s="18" t="s">
        <v>29</v>
      </c>
    </row>
    <row r="11" customFormat="false" ht="15" hidden="false" customHeight="false" outlineLevel="0" collapsed="false">
      <c r="A11" s="10" t="s">
        <v>30</v>
      </c>
      <c r="B11" s="10" t="s">
        <v>26</v>
      </c>
      <c r="C11" s="10" t="s">
        <v>31</v>
      </c>
      <c r="D11" s="11" t="n">
        <v>0.3</v>
      </c>
      <c r="E11" s="12" t="n">
        <v>1.5</v>
      </c>
      <c r="F11" s="13" t="n">
        <v>0.19</v>
      </c>
      <c r="G11" s="14" t="n">
        <f aca="false">E11/(1+F11)</f>
        <v>1.26050420168067</v>
      </c>
      <c r="H11" s="14" t="n">
        <f aca="false">E11*($D$4+$D$5)</f>
        <v>0.3</v>
      </c>
      <c r="I11" s="14" t="n">
        <f aca="false">G11-D11-H11</f>
        <v>0.660504201680672</v>
      </c>
      <c r="J11" s="15" t="n">
        <f aca="false">IF(G11=0,0,I11/G11)</f>
        <v>0.524</v>
      </c>
      <c r="K11" s="16" t="n">
        <v>8</v>
      </c>
      <c r="L11" s="17" t="n">
        <f aca="false">I11*K11*$D$6*$D$7</f>
        <v>158.521008403361</v>
      </c>
      <c r="M11" s="10" t="n">
        <f aca="false">RANK(L11,$L$10:$L$19)</f>
        <v>1</v>
      </c>
      <c r="N11" s="10" t="s">
        <v>32</v>
      </c>
      <c r="O11" s="18" t="s">
        <v>33</v>
      </c>
    </row>
    <row r="12" customFormat="false" ht="22.35" hidden="false" customHeight="false" outlineLevel="0" collapsed="false">
      <c r="A12" s="10" t="s">
        <v>34</v>
      </c>
      <c r="B12" s="10" t="s">
        <v>26</v>
      </c>
      <c r="C12" s="10" t="s">
        <v>35</v>
      </c>
      <c r="D12" s="11" t="n">
        <v>1.6</v>
      </c>
      <c r="E12" s="12" t="n">
        <v>3</v>
      </c>
      <c r="F12" s="13" t="n">
        <v>0.07</v>
      </c>
      <c r="G12" s="14" t="n">
        <f aca="false">E12/(1+F12)</f>
        <v>2.80373831775701</v>
      </c>
      <c r="H12" s="14" t="n">
        <f aca="false">E12*($D$4+$D$5)</f>
        <v>0.6</v>
      </c>
      <c r="I12" s="14" t="n">
        <f aca="false">G12-D12-H12</f>
        <v>0.603738317757009</v>
      </c>
      <c r="J12" s="15" t="n">
        <f aca="false">IF(G12=0,0,I12/G12)</f>
        <v>0.215333333333333</v>
      </c>
      <c r="K12" s="16" t="n">
        <v>4</v>
      </c>
      <c r="L12" s="17" t="n">
        <f aca="false">I12*K12*$D$6*$D$7</f>
        <v>72.4485981308411</v>
      </c>
      <c r="M12" s="10" t="n">
        <f aca="false">RANK(L12,$L$10:$L$19)</f>
        <v>6</v>
      </c>
      <c r="N12" s="10" t="s">
        <v>36</v>
      </c>
      <c r="O12" s="18" t="s">
        <v>37</v>
      </c>
    </row>
    <row r="13" customFormat="false" ht="15" hidden="false" customHeight="false" outlineLevel="0" collapsed="false">
      <c r="A13" s="10" t="s">
        <v>38</v>
      </c>
      <c r="B13" s="10" t="s">
        <v>26</v>
      </c>
      <c r="C13" s="10" t="s">
        <v>39</v>
      </c>
      <c r="D13" s="11" t="n">
        <v>0.7</v>
      </c>
      <c r="E13" s="12" t="n">
        <v>1.5</v>
      </c>
      <c r="F13" s="13" t="n">
        <v>0.07</v>
      </c>
      <c r="G13" s="14" t="n">
        <f aca="false">E13/(1+F13)</f>
        <v>1.4018691588785</v>
      </c>
      <c r="H13" s="14" t="n">
        <f aca="false">E13*($D$4+$D$5)</f>
        <v>0.3</v>
      </c>
      <c r="I13" s="14" t="n">
        <f aca="false">G13-D13-H13</f>
        <v>0.401869158878505</v>
      </c>
      <c r="J13" s="15" t="n">
        <f aca="false">IF(G13=0,0,I13/G13)</f>
        <v>0.286666666666667</v>
      </c>
      <c r="K13" s="16" t="n">
        <v>3</v>
      </c>
      <c r="L13" s="17" t="n">
        <f aca="false">I13*K13*$D$6*$D$7</f>
        <v>36.1682242990654</v>
      </c>
      <c r="M13" s="10" t="n">
        <f aca="false">RANK(L13,$L$10:$L$19)</f>
        <v>10</v>
      </c>
      <c r="N13" s="10" t="s">
        <v>40</v>
      </c>
      <c r="O13" s="18" t="s">
        <v>41</v>
      </c>
    </row>
    <row r="14" customFormat="false" ht="23.85" hidden="false" customHeight="false" outlineLevel="0" collapsed="false">
      <c r="A14" s="10" t="s">
        <v>42</v>
      </c>
      <c r="B14" s="10" t="s">
        <v>26</v>
      </c>
      <c r="C14" s="10" t="s">
        <v>43</v>
      </c>
      <c r="D14" s="11" t="n">
        <v>2</v>
      </c>
      <c r="E14" s="12" t="n">
        <v>3.5</v>
      </c>
      <c r="F14" s="13" t="n">
        <v>0.07</v>
      </c>
      <c r="G14" s="14" t="n">
        <f aca="false">E14/(1+F14)</f>
        <v>3.27102803738318</v>
      </c>
      <c r="H14" s="14" t="n">
        <f aca="false">E14*($D$4+$D$5)</f>
        <v>0.7</v>
      </c>
      <c r="I14" s="14" t="n">
        <f aca="false">G14-D14-H14</f>
        <v>0.571028037383177</v>
      </c>
      <c r="J14" s="15" t="n">
        <f aca="false">IF(G14=0,0,I14/G14)</f>
        <v>0.174571428571428</v>
      </c>
      <c r="K14" s="16" t="n">
        <v>3</v>
      </c>
      <c r="L14" s="17" t="n">
        <f aca="false">I14*K14*$D$6*$D$7</f>
        <v>51.392523364486</v>
      </c>
      <c r="M14" s="10" t="n">
        <f aca="false">RANK(L14,$L$10:$L$19)</f>
        <v>8</v>
      </c>
      <c r="N14" s="10" t="s">
        <v>44</v>
      </c>
      <c r="O14" s="18" t="s">
        <v>45</v>
      </c>
    </row>
    <row r="15" customFormat="false" ht="23.85" hidden="false" customHeight="false" outlineLevel="0" collapsed="false">
      <c r="A15" s="10" t="s">
        <v>46</v>
      </c>
      <c r="B15" s="10" t="s">
        <v>47</v>
      </c>
      <c r="C15" s="10" t="s">
        <v>48</v>
      </c>
      <c r="D15" s="11" t="n">
        <v>0.9</v>
      </c>
      <c r="E15" s="12" t="n">
        <v>3</v>
      </c>
      <c r="F15" s="13" t="n">
        <v>0.07</v>
      </c>
      <c r="G15" s="14" t="n">
        <f aca="false">E15/(1+F15)</f>
        <v>2.80373831775701</v>
      </c>
      <c r="H15" s="14" t="n">
        <f aca="false">E15*($D$4+$D$5)</f>
        <v>0.6</v>
      </c>
      <c r="I15" s="14" t="n">
        <f aca="false">G15-D15-H15</f>
        <v>1.30373831775701</v>
      </c>
      <c r="J15" s="15" t="n">
        <f aca="false">IF(G15=0,0,I15/G15)</f>
        <v>0.465</v>
      </c>
      <c r="K15" s="16" t="n">
        <v>3</v>
      </c>
      <c r="L15" s="17" t="n">
        <f aca="false">I15*K15*$D$6*$D$7</f>
        <v>117.336448598131</v>
      </c>
      <c r="M15" s="10" t="n">
        <f aca="false">RANK(L15,$L$10:$L$19)</f>
        <v>4</v>
      </c>
      <c r="N15" s="10" t="s">
        <v>44</v>
      </c>
      <c r="O15" s="18" t="s">
        <v>49</v>
      </c>
    </row>
    <row r="16" customFormat="false" ht="23.85" hidden="false" customHeight="false" outlineLevel="0" collapsed="false">
      <c r="A16" s="10" t="s">
        <v>50</v>
      </c>
      <c r="B16" s="10" t="s">
        <v>26</v>
      </c>
      <c r="C16" s="10" t="s">
        <v>51</v>
      </c>
      <c r="D16" s="11" t="n">
        <v>1.8</v>
      </c>
      <c r="E16" s="12" t="n">
        <v>3.5</v>
      </c>
      <c r="F16" s="13" t="n">
        <v>0.07</v>
      </c>
      <c r="G16" s="14" t="n">
        <f aca="false">E16/(1+F16)</f>
        <v>3.27102803738318</v>
      </c>
      <c r="H16" s="14" t="n">
        <f aca="false">E16*($D$4+$D$5)</f>
        <v>0.7</v>
      </c>
      <c r="I16" s="14" t="n">
        <f aca="false">G16-D16-H16</f>
        <v>0.771028037383177</v>
      </c>
      <c r="J16" s="15" t="n">
        <f aca="false">IF(G16=0,0,I16/G16)</f>
        <v>0.235714285714286</v>
      </c>
      <c r="K16" s="16" t="n">
        <v>2</v>
      </c>
      <c r="L16" s="17" t="n">
        <f aca="false">I16*K16*$D$6*$D$7</f>
        <v>46.2616822429906</v>
      </c>
      <c r="M16" s="10" t="n">
        <f aca="false">RANK(L16,$L$10:$L$19)</f>
        <v>9</v>
      </c>
      <c r="N16" s="10" t="s">
        <v>52</v>
      </c>
      <c r="O16" s="18" t="s">
        <v>53</v>
      </c>
    </row>
    <row r="17" customFormat="false" ht="23.85" hidden="false" customHeight="false" outlineLevel="0" collapsed="false">
      <c r="A17" s="10" t="s">
        <v>54</v>
      </c>
      <c r="B17" s="10" t="s">
        <v>47</v>
      </c>
      <c r="C17" s="10" t="s">
        <v>55</v>
      </c>
      <c r="D17" s="11" t="n">
        <v>1.2</v>
      </c>
      <c r="E17" s="12" t="n">
        <v>4.5</v>
      </c>
      <c r="F17" s="13" t="n">
        <v>0.07</v>
      </c>
      <c r="G17" s="14" t="n">
        <f aca="false">E17/(1+F17)</f>
        <v>4.20560747663551</v>
      </c>
      <c r="H17" s="14" t="n">
        <f aca="false">E17*($D$4+$D$5)</f>
        <v>0.9</v>
      </c>
      <c r="I17" s="14" t="n">
        <f aca="false">G17-D17-H17</f>
        <v>2.10560747663551</v>
      </c>
      <c r="J17" s="15" t="n">
        <f aca="false">IF(G17=0,0,I17/G17)</f>
        <v>0.500666666666667</v>
      </c>
      <c r="K17" s="16" t="n">
        <v>2</v>
      </c>
      <c r="L17" s="17" t="n">
        <f aca="false">I17*K17*$D$6*$D$7</f>
        <v>126.336448598131</v>
      </c>
      <c r="M17" s="10" t="n">
        <f aca="false">RANK(L17,$L$10:$L$19)</f>
        <v>2</v>
      </c>
      <c r="N17" s="10" t="s">
        <v>52</v>
      </c>
      <c r="O17" s="18" t="s">
        <v>56</v>
      </c>
    </row>
    <row r="18" customFormat="false" ht="23.85" hidden="false" customHeight="false" outlineLevel="0" collapsed="false">
      <c r="A18" s="10" t="s">
        <v>57</v>
      </c>
      <c r="B18" s="10" t="s">
        <v>47</v>
      </c>
      <c r="C18" s="10" t="s">
        <v>58</v>
      </c>
      <c r="D18" s="11" t="n">
        <v>0.45</v>
      </c>
      <c r="E18" s="12" t="n">
        <v>2.5</v>
      </c>
      <c r="F18" s="13" t="n">
        <v>0.07</v>
      </c>
      <c r="G18" s="14" t="n">
        <f aca="false">E18/(1+F18)</f>
        <v>2.33644859813084</v>
      </c>
      <c r="H18" s="14" t="n">
        <f aca="false">E18*($D$4+$D$5)</f>
        <v>0.5</v>
      </c>
      <c r="I18" s="14" t="n">
        <f aca="false">G18-D18-H18</f>
        <v>1.38644859813084</v>
      </c>
      <c r="J18" s="15" t="n">
        <f aca="false">IF(G18=0,0,I18/G18)</f>
        <v>0.5934</v>
      </c>
      <c r="K18" s="16" t="n">
        <v>2</v>
      </c>
      <c r="L18" s="17" t="n">
        <f aca="false">I18*K18*$D$6*$D$7</f>
        <v>83.1869158878505</v>
      </c>
      <c r="M18" s="10" t="n">
        <f aca="false">RANK(L18,$L$10:$L$19)</f>
        <v>5</v>
      </c>
      <c r="N18" s="10" t="s">
        <v>59</v>
      </c>
      <c r="O18" s="18" t="s">
        <v>60</v>
      </c>
    </row>
    <row r="19" customFormat="false" ht="23.85" hidden="false" customHeight="false" outlineLevel="0" collapsed="false">
      <c r="A19" s="10" t="s">
        <v>61</v>
      </c>
      <c r="B19" s="10" t="s">
        <v>47</v>
      </c>
      <c r="C19" s="10" t="s">
        <v>62</v>
      </c>
      <c r="D19" s="11" t="n">
        <v>1</v>
      </c>
      <c r="E19" s="12" t="n">
        <v>3</v>
      </c>
      <c r="F19" s="13" t="n">
        <v>0.07</v>
      </c>
      <c r="G19" s="14" t="n">
        <f aca="false">E19/(1+F19)</f>
        <v>2.80373831775701</v>
      </c>
      <c r="H19" s="14" t="n">
        <f aca="false">E19*($D$4+$D$5)</f>
        <v>0.6</v>
      </c>
      <c r="I19" s="14" t="n">
        <f aca="false">G19-D19-H19</f>
        <v>1.20373831775701</v>
      </c>
      <c r="J19" s="15" t="n">
        <f aca="false">IF(G19=0,0,I19/G19)</f>
        <v>0.429333333333333</v>
      </c>
      <c r="K19" s="16" t="n">
        <v>2</v>
      </c>
      <c r="L19" s="17" t="n">
        <f aca="false">I19*K19*$D$6*$D$7</f>
        <v>72.2242990654206</v>
      </c>
      <c r="M19" s="10" t="n">
        <f aca="false">RANK(L19,$L$10:$L$19)</f>
        <v>7</v>
      </c>
      <c r="N19" s="10" t="s">
        <v>63</v>
      </c>
      <c r="O19" s="18" t="s">
        <v>64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3" t="s">
        <v>65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3" t="s">
        <v>66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67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68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9" t="s">
        <v>10</v>
      </c>
      <c r="B4" s="9" t="s">
        <v>69</v>
      </c>
      <c r="C4" s="9" t="s">
        <v>70</v>
      </c>
      <c r="D4" s="9" t="s">
        <v>71</v>
      </c>
      <c r="E4" s="2"/>
    </row>
    <row r="5" customFormat="false" ht="15" hidden="false" customHeight="false" outlineLevel="0" collapsed="false">
      <c r="A5" s="19" t="str">
        <f aca="false">Artikel!A10</f>
        <v>Red Bull 250 ml</v>
      </c>
      <c r="B5" s="20" t="n">
        <f aca="false">Artikel!L10</f>
        <v>119.329411764706</v>
      </c>
      <c r="C5" s="21" t="n">
        <v>1</v>
      </c>
      <c r="D5" s="21" t="n">
        <v>1</v>
      </c>
      <c r="E5" s="2"/>
    </row>
    <row r="6" customFormat="false" ht="15" hidden="false" customHeight="false" outlineLevel="0" collapsed="false">
      <c r="A6" s="19" t="str">
        <f aca="false">Artikel!A11</f>
        <v>Wasser 0,5 l</v>
      </c>
      <c r="B6" s="20" t="n">
        <f aca="false">Artikel!L11</f>
        <v>158.521008403361</v>
      </c>
      <c r="C6" s="21" t="n">
        <v>1</v>
      </c>
      <c r="D6" s="21" t="n">
        <v>1</v>
      </c>
      <c r="E6" s="2"/>
    </row>
    <row r="7" customFormat="false" ht="15" hidden="false" customHeight="false" outlineLevel="0" collapsed="false">
      <c r="A7" s="19" t="str">
        <f aca="false">Artikel!A12</f>
        <v>Proteinriegel (Barebells)</v>
      </c>
      <c r="B7" s="20" t="n">
        <f aca="false">Artikel!L12</f>
        <v>72.4485981308411</v>
      </c>
      <c r="C7" s="21" t="n">
        <v>1</v>
      </c>
      <c r="D7" s="21" t="n">
        <v>0</v>
      </c>
      <c r="E7" s="2"/>
    </row>
    <row r="8" customFormat="false" ht="15" hidden="false" customHeight="false" outlineLevel="0" collapsed="false">
      <c r="A8" s="19" t="str">
        <f aca="false">Artikel!A13</f>
        <v>Xylit-Kaugummi 10er (Extra Professional)</v>
      </c>
      <c r="B8" s="20" t="n">
        <f aca="false">Artikel!L13</f>
        <v>36.1682242990654</v>
      </c>
      <c r="C8" s="21" t="n">
        <v>1</v>
      </c>
      <c r="D8" s="21" t="n">
        <v>1</v>
      </c>
      <c r="E8" s="2"/>
    </row>
    <row r="9" customFormat="false" ht="15" hidden="false" customHeight="false" outlineLevel="0" collapsed="false">
      <c r="A9" s="19" t="str">
        <f aca="false">Artikel!A14</f>
        <v>Koffein-Gum Markenware (z. B. enerjetix, Guming)</v>
      </c>
      <c r="B9" s="20" t="n">
        <f aca="false">Artikel!L14</f>
        <v>51.392523364486</v>
      </c>
      <c r="C9" s="21" t="n">
        <v>0</v>
      </c>
      <c r="D9" s="21" t="n">
        <v>0</v>
      </c>
      <c r="E9" s="2"/>
    </row>
    <row r="10" customFormat="false" ht="15" hidden="false" customHeight="false" outlineLevel="0" collapsed="false">
      <c r="A10" s="19" t="str">
        <f aca="false">Artikel!A15</f>
        <v>Koffein-Gum Eigenmarke (100 % Xylit, 10er)</v>
      </c>
      <c r="B10" s="20" t="n">
        <f aca="false">Artikel!L15</f>
        <v>117.336448598131</v>
      </c>
      <c r="C10" s="21" t="n">
        <v>0</v>
      </c>
      <c r="D10" s="21" t="n">
        <v>1</v>
      </c>
      <c r="E10" s="2"/>
    </row>
    <row r="11" customFormat="false" ht="15" hidden="false" customHeight="false" outlineLevel="0" collapsed="false">
      <c r="A11" s="19" t="str">
        <f aca="false">Artikel!A16</f>
        <v>Energy Pouches Markenware (z. B. BAGZ Energy 5er)</v>
      </c>
      <c r="B11" s="20" t="n">
        <f aca="false">Artikel!L16</f>
        <v>46.2616822429906</v>
      </c>
      <c r="C11" s="21" t="n">
        <v>0</v>
      </c>
      <c r="D11" s="21" t="n">
        <v>0</v>
      </c>
      <c r="E11" s="2"/>
    </row>
    <row r="12" customFormat="false" ht="15" hidden="false" customHeight="false" outlineLevel="0" collapsed="false">
      <c r="A12" s="19" t="str">
        <f aca="false">Artikel!A17</f>
        <v>Energy Pouches Eigenmarke (Dose)</v>
      </c>
      <c r="B12" s="20" t="n">
        <f aca="false">Artikel!L17</f>
        <v>126.336448598131</v>
      </c>
      <c r="C12" s="21" t="n">
        <v>0</v>
      </c>
      <c r="D12" s="21" t="n">
        <v>1</v>
      </c>
      <c r="E12" s="2"/>
    </row>
    <row r="13" customFormat="false" ht="15" hidden="false" customHeight="false" outlineLevel="0" collapsed="false">
      <c r="A13" s="19" t="str">
        <f aca="false">Artikel!A18</f>
        <v>Elektrolyt-Sticks Eigenmarke (3er)</v>
      </c>
      <c r="B13" s="20" t="n">
        <f aca="false">Artikel!L18</f>
        <v>83.1869158878505</v>
      </c>
      <c r="C13" s="21" t="n">
        <v>0</v>
      </c>
      <c r="D13" s="21" t="n">
        <v>1</v>
      </c>
      <c r="E13" s="2"/>
    </row>
    <row r="14" customFormat="false" ht="15" hidden="false" customHeight="false" outlineLevel="0" collapsed="false">
      <c r="A14" s="19" t="str">
        <f aca="false">Artikel!A19</f>
        <v>Hard Gum (Kieferlinie-Trend)</v>
      </c>
      <c r="B14" s="20" t="n">
        <f aca="false">Artikel!L19</f>
        <v>72.2242990654206</v>
      </c>
      <c r="C14" s="21" t="n">
        <v>0</v>
      </c>
      <c r="D14" s="21" t="n">
        <v>1</v>
      </c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4" t="s">
        <v>72</v>
      </c>
      <c r="B16" s="2"/>
      <c r="C16" s="22" t="n">
        <f aca="false">SUMPRODUCT($B$5:$B$14,C5:C14)</f>
        <v>386.467242597974</v>
      </c>
      <c r="D16" s="22" t="n">
        <f aca="false">SUMPRODUCT($B$5:$B$14,D5:D14)</f>
        <v>713.102756616665</v>
      </c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4" t="s">
        <v>73</v>
      </c>
      <c r="B18" s="2"/>
      <c r="C18" s="2"/>
      <c r="D18" s="2"/>
      <c r="E18" s="2"/>
    </row>
    <row r="19" customFormat="false" ht="15" hidden="false" customHeight="false" outlineLevel="0" collapsed="false">
      <c r="A19" s="2" t="s">
        <v>74</v>
      </c>
      <c r="B19" s="23" t="n">
        <v>10</v>
      </c>
      <c r="C19" s="2"/>
      <c r="D19" s="2"/>
      <c r="E19" s="3" t="s">
        <v>75</v>
      </c>
    </row>
    <row r="20" customFormat="false" ht="15" hidden="false" customHeight="false" outlineLevel="0" collapsed="false">
      <c r="A20" s="2" t="s">
        <v>76</v>
      </c>
      <c r="B20" s="23" t="n">
        <v>40</v>
      </c>
      <c r="C20" s="2"/>
      <c r="D20" s="2"/>
      <c r="E20" s="3" t="s">
        <v>77</v>
      </c>
    </row>
    <row r="21" customFormat="false" ht="15" hidden="false" customHeight="false" outlineLevel="0" collapsed="false">
      <c r="A21" s="2" t="s">
        <v>78</v>
      </c>
      <c r="B21" s="23" t="n">
        <v>0</v>
      </c>
      <c r="C21" s="2"/>
      <c r="D21" s="2"/>
      <c r="E21" s="3" t="s">
        <v>79</v>
      </c>
    </row>
    <row r="22" customFormat="false" ht="15" hidden="false" customHeight="false" outlineLevel="0" collapsed="false">
      <c r="A22" s="2" t="s">
        <v>80</v>
      </c>
      <c r="B22" s="23" t="n">
        <v>10</v>
      </c>
      <c r="C22" s="2"/>
      <c r="D22" s="2"/>
      <c r="E22" s="3" t="s">
        <v>81</v>
      </c>
    </row>
    <row r="23" customFormat="false" ht="15" hidden="false" customHeight="false" outlineLevel="0" collapsed="false">
      <c r="A23" s="4" t="s">
        <v>82</v>
      </c>
      <c r="B23" s="22" t="n">
        <f aca="false">SUM(B19:B22)</f>
        <v>60</v>
      </c>
      <c r="C23" s="22" t="n">
        <f aca="false">$B$23</f>
        <v>60</v>
      </c>
      <c r="D23" s="22" t="n">
        <f aca="false">$B$23</f>
        <v>60</v>
      </c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4" t="s">
        <v>83</v>
      </c>
      <c r="B25" s="2"/>
      <c r="C25" s="24" t="n">
        <f aca="false">C16-C23</f>
        <v>326.467242597974</v>
      </c>
      <c r="D25" s="24" t="n">
        <f aca="false">D16-D23</f>
        <v>653.102756616665</v>
      </c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4" t="s">
        <v>84</v>
      </c>
      <c r="B27" s="2"/>
      <c r="C27" s="2"/>
      <c r="D27" s="2"/>
      <c r="E27" s="2"/>
    </row>
    <row r="28" customFormat="false" ht="15" hidden="false" customHeight="false" outlineLevel="0" collapsed="false">
      <c r="A28" s="2" t="s">
        <v>85</v>
      </c>
      <c r="B28" s="23" t="n">
        <v>2000</v>
      </c>
      <c r="C28" s="2"/>
      <c r="D28" s="2"/>
      <c r="E28" s="3" t="s">
        <v>86</v>
      </c>
    </row>
    <row r="29" customFormat="false" ht="15" hidden="false" customHeight="false" outlineLevel="0" collapsed="false">
      <c r="A29" s="2" t="s">
        <v>87</v>
      </c>
      <c r="B29" s="23" t="n">
        <v>400</v>
      </c>
      <c r="C29" s="2"/>
      <c r="D29" s="2"/>
      <c r="E29" s="3" t="s">
        <v>88</v>
      </c>
    </row>
    <row r="30" customFormat="false" ht="15" hidden="false" customHeight="false" outlineLevel="0" collapsed="false">
      <c r="A30" s="2" t="s">
        <v>89</v>
      </c>
      <c r="B30" s="23" t="n">
        <v>300</v>
      </c>
      <c r="C30" s="2"/>
      <c r="D30" s="2"/>
      <c r="E30" s="3" t="s">
        <v>81</v>
      </c>
    </row>
    <row r="31" customFormat="false" ht="15" hidden="false" customHeight="false" outlineLevel="0" collapsed="false">
      <c r="A31" s="2" t="s">
        <v>90</v>
      </c>
      <c r="B31" s="23" t="n">
        <v>1500</v>
      </c>
      <c r="C31" s="2"/>
      <c r="D31" s="2"/>
      <c r="E31" s="3" t="s">
        <v>91</v>
      </c>
    </row>
    <row r="32" customFormat="false" ht="15" hidden="false" customHeight="false" outlineLevel="0" collapsed="false">
      <c r="A32" s="4" t="s">
        <v>92</v>
      </c>
      <c r="B32" s="2"/>
      <c r="C32" s="22" t="n">
        <f aca="false">SUM(B28:B30)</f>
        <v>2700</v>
      </c>
      <c r="D32" s="22" t="n">
        <f aca="false">SUM(B28:B31)</f>
        <v>4200</v>
      </c>
      <c r="E32" s="2"/>
    </row>
    <row r="33" customFormat="false" ht="15" hidden="false" customHeight="false" outlineLevel="0" collapsed="false">
      <c r="A33" s="4" t="s">
        <v>93</v>
      </c>
      <c r="B33" s="2"/>
      <c r="C33" s="25" t="n">
        <f aca="false">IF(C25&lt;=0,"nie",C32/C25)</f>
        <v>8.2703550240258</v>
      </c>
      <c r="D33" s="25" t="n">
        <f aca="false">IF(D25&lt;=0,"nie",D32/D25)</f>
        <v>6.43084102378879</v>
      </c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4" t="s">
        <v>94</v>
      </c>
      <c r="B35" s="2"/>
      <c r="C35" s="26" t="n">
        <f aca="false">SUMPRODUCT(Artikel!$E$10:$E$19,Artikel!$K$10:$K$19,C5:C14)*Artikel!$D$7</f>
        <v>45.3</v>
      </c>
      <c r="D35" s="26" t="n">
        <f aca="false">SUMPRODUCT(Artikel!$E$10:$E$19,Artikel!$K$10:$K$19,D5:D14)*Artikel!$D$7</f>
        <v>62.3</v>
      </c>
      <c r="E35" s="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9" t="s">
        <v>97</v>
      </c>
      <c r="B3" s="9" t="s">
        <v>23</v>
      </c>
      <c r="C3" s="9" t="s">
        <v>98</v>
      </c>
      <c r="D3" s="9" t="s">
        <v>99</v>
      </c>
      <c r="E3" s="9" t="s">
        <v>100</v>
      </c>
      <c r="F3" s="9" t="s">
        <v>101</v>
      </c>
    </row>
    <row r="4" customFormat="false" ht="23.85" hidden="false" customHeight="false" outlineLevel="0" collapsed="false">
      <c r="A4" s="10" t="s">
        <v>102</v>
      </c>
      <c r="B4" s="10" t="s">
        <v>103</v>
      </c>
      <c r="C4" s="10" t="s">
        <v>104</v>
      </c>
      <c r="D4" s="10" t="s">
        <v>105</v>
      </c>
      <c r="E4" s="10" t="s">
        <v>106</v>
      </c>
      <c r="F4" s="10" t="s">
        <v>107</v>
      </c>
    </row>
    <row r="5" customFormat="false" ht="23.85" hidden="false" customHeight="false" outlineLevel="0" collapsed="false">
      <c r="A5" s="10" t="s">
        <v>108</v>
      </c>
      <c r="B5" s="10" t="s">
        <v>109</v>
      </c>
      <c r="C5" s="10" t="s">
        <v>110</v>
      </c>
      <c r="D5" s="10" t="s">
        <v>111</v>
      </c>
      <c r="E5" s="10" t="s">
        <v>112</v>
      </c>
      <c r="F5" s="10" t="s">
        <v>113</v>
      </c>
    </row>
    <row r="6" customFormat="false" ht="23.85" hidden="false" customHeight="false" outlineLevel="0" collapsed="false">
      <c r="A6" s="10" t="s">
        <v>114</v>
      </c>
      <c r="B6" s="10" t="s">
        <v>115</v>
      </c>
      <c r="C6" s="10" t="s">
        <v>116</v>
      </c>
      <c r="D6" s="10" t="s">
        <v>117</v>
      </c>
      <c r="E6" s="10" t="s">
        <v>118</v>
      </c>
      <c r="F6" s="10" t="s">
        <v>113</v>
      </c>
    </row>
    <row r="7" customFormat="false" ht="23.85" hidden="false" customHeight="false" outlineLevel="0" collapsed="false">
      <c r="A7" s="10" t="s">
        <v>119</v>
      </c>
      <c r="B7" s="10" t="s">
        <v>120</v>
      </c>
      <c r="C7" s="10" t="s">
        <v>121</v>
      </c>
      <c r="D7" s="10" t="s">
        <v>122</v>
      </c>
      <c r="E7" s="10" t="s">
        <v>123</v>
      </c>
      <c r="F7" s="10" t="s">
        <v>124</v>
      </c>
    </row>
    <row r="8" customFormat="false" ht="23.85" hidden="false" customHeight="false" outlineLevel="0" collapsed="false">
      <c r="A8" s="10" t="s">
        <v>125</v>
      </c>
      <c r="B8" s="10" t="s">
        <v>126</v>
      </c>
      <c r="C8" s="10" t="s">
        <v>127</v>
      </c>
      <c r="D8" s="10" t="s">
        <v>128</v>
      </c>
      <c r="E8" s="10" t="s">
        <v>129</v>
      </c>
      <c r="F8" s="1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131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9" t="s">
        <v>132</v>
      </c>
      <c r="B3" s="9" t="s">
        <v>133</v>
      </c>
    </row>
    <row r="4" customFormat="false" ht="15" hidden="false" customHeight="false" outlineLevel="0" collapsed="false">
      <c r="A4" s="5" t="s">
        <v>134</v>
      </c>
      <c r="B4" s="27" t="s">
        <v>135</v>
      </c>
    </row>
    <row r="5" customFormat="false" ht="15" hidden="false" customHeight="false" outlineLevel="0" collapsed="false">
      <c r="A5" s="5" t="s">
        <v>136</v>
      </c>
      <c r="B5" s="27" t="s">
        <v>137</v>
      </c>
    </row>
    <row r="6" customFormat="false" ht="15" hidden="false" customHeight="false" outlineLevel="0" collapsed="false">
      <c r="A6" s="5" t="s">
        <v>138</v>
      </c>
      <c r="B6" s="27" t="s">
        <v>139</v>
      </c>
    </row>
    <row r="7" customFormat="false" ht="15" hidden="false" customHeight="false" outlineLevel="0" collapsed="false">
      <c r="A7" s="5" t="s">
        <v>140</v>
      </c>
      <c r="B7" s="27" t="s">
        <v>141</v>
      </c>
    </row>
    <row r="8" customFormat="false" ht="15" hidden="false" customHeight="false" outlineLevel="0" collapsed="false">
      <c r="A8" s="5" t="s">
        <v>142</v>
      </c>
      <c r="B8" s="27" t="s">
        <v>143</v>
      </c>
    </row>
    <row r="9" customFormat="false" ht="15" hidden="false" customHeight="false" outlineLevel="0" collapsed="false">
      <c r="A9" s="5" t="s">
        <v>144</v>
      </c>
      <c r="B9" s="27" t="s">
        <v>145</v>
      </c>
    </row>
    <row r="10" customFormat="false" ht="15" hidden="false" customHeight="false" outlineLevel="0" collapsed="false">
      <c r="A10" s="5" t="s">
        <v>146</v>
      </c>
      <c r="B10" s="27" t="s">
        <v>147</v>
      </c>
    </row>
    <row r="11" customFormat="false" ht="15" hidden="false" customHeight="false" outlineLevel="0" collapsed="false">
      <c r="A11" s="5" t="s">
        <v>148</v>
      </c>
      <c r="B11" s="27" t="s">
        <v>149</v>
      </c>
    </row>
    <row r="12" customFormat="false" ht="15" hidden="false" customHeight="false" outlineLevel="0" collapsed="false">
      <c r="A12" s="5" t="s">
        <v>150</v>
      </c>
      <c r="B12" s="27" t="s">
        <v>151</v>
      </c>
    </row>
    <row r="13" customFormat="false" ht="15" hidden="false" customHeight="false" outlineLevel="0" collapsed="false">
      <c r="A13" s="5" t="s">
        <v>152</v>
      </c>
      <c r="B13" s="27" t="s">
        <v>153</v>
      </c>
    </row>
    <row r="14" customFormat="false" ht="15" hidden="false" customHeight="false" outlineLevel="0" collapsed="false">
      <c r="A14" s="5" t="s">
        <v>154</v>
      </c>
      <c r="B14" s="27" t="s">
        <v>155</v>
      </c>
    </row>
    <row r="15" customFormat="false" ht="15" hidden="false" customHeight="false" outlineLevel="0" collapsed="false">
      <c r="A15" s="5" t="s">
        <v>156</v>
      </c>
      <c r="B15" s="27" t="s">
        <v>157</v>
      </c>
    </row>
    <row r="16" customFormat="false" ht="15" hidden="false" customHeight="false" outlineLevel="0" collapsed="false">
      <c r="A16" s="5" t="s">
        <v>158</v>
      </c>
      <c r="B16" s="27" t="s">
        <v>159</v>
      </c>
    </row>
    <row r="17" customFormat="false" ht="15" hidden="false" customHeight="false" outlineLevel="0" collapsed="false">
      <c r="A17" s="5" t="s">
        <v>160</v>
      </c>
      <c r="B17" s="27" t="s">
        <v>161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3" t="s">
        <v>162</v>
      </c>
      <c r="B19" s="2"/>
    </row>
  </sheetData>
  <hyperlinks>
    <hyperlink ref="B4" r:id="rId1" display="https://www.kaufda.de/Metro/Sortiment/Red-Bull"/>
    <hyperlink ref="B5" r:id="rId2" display="https://www.mein-deal.com/?p=2164912"/>
    <hyperlink ref="B6" r:id="rId3" display="https://www.ebay.de/p/28014800363"/>
    <hyperlink ref="B7" r:id="rId4" display="https://tabakdealer.de/bagz/kautabak/"/>
    <hyperlink ref="B8" r:id="rId5" display="https://www.dm.de/p/d/3085316/"/>
    <hyperlink ref="B9" r:id="rId6" display="https://de.accio.com/plp/caffeine-gum-white-label"/>
    <hyperlink ref="B10" r:id="rId7" display="https://wonnda.com/de/produkttypen/private-label-energy-pouches-hersteller/"/>
    <hyperlink ref="B11" r:id="rId8" display="https://wonnda.com/de/magazin/white-label-nahrungsergaenzungsmittel-hersteller-europa/"/>
    <hyperlink ref="B12" r:id="rId9" display="https://www.kleinanzeigen.de/pro/dga-vending"/>
    <hyperlink ref="B13" r:id="rId10" display="https://dev.capitalvending.com/nayax-reader-with-installation-at-capital-vending"/>
    <hyperlink ref="B14" r:id="rId11" display="https://app.getquin.com/de/post/kJiXqaBssQ/hier-mal-ein-kleines-update-zu-meinen-erfahrung-im-automaten-business"/>
    <hyperlink ref="B15" r:id="rId12" display="https://www.mtrlegal.com/wiki/automatenaufstellungsvertrag/"/>
    <hyperlink ref="B16" r:id="rId13" display="https://vmfsusa.com/blogs/starting-your-vending-business/how-to-choose-the-right-products-for-your-vending-machine"/>
    <hyperlink ref="B17" r:id="rId14" display="https://www.stol.it/artikel/wirtschaft/hinter-den-kulissen-des-kaffeegenusses-die-welt-der-verkaufsautomat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2026-10-08T19:34:14Z</dcterms:created>
  <dc:creator>openpyxl</dc:creator>
  <dc:description/>
  <dc:language>en-US</dc:language>
  <cp:lastModifiedBy/>
  <dcterms:modified xsi:type="dcterms:W3CDTF">2026-10-08T19:34:14Z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